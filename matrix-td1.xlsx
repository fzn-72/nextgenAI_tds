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trix" sheetId="1" state="visible" r:id="rId3"/>
    <sheet name="Statu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<sst xmlns="http://schemas.openxmlformats.org/spreadsheetml/2006/main" count="168" uniqueCount="45">
  <si>
    <t xml:space="preserve">TD1 - value returned by each model for each question (euro cents, excl. VAT)</t>
  </si>
  <si>
    <t xml:space="preserve">Final result per cell = last attempt. Green = equals the reference, red = wrong value, amber = no value (text shows the final status).</t>
  </si>
  <si>
    <t xml:space="preserve">Case</t>
  </si>
  <si>
    <t xml:space="preserve">Reference</t>
  </si>
  <si>
    <t xml:space="preserve">A
gpt-oss-120b</t>
  </si>
  <si>
    <t xml:space="preserve">B
gpt-oss-20b</t>
  </si>
  <si>
    <t xml:space="preserve">C
north-mini-code</t>
  </si>
  <si>
    <t xml:space="preserve">D
qwen3.8-27b</t>
  </si>
  <si>
    <t xml:space="preserve">E
dots-3-note</t>
  </si>
  <si>
    <t xml:space="preserve">C01</t>
  </si>
  <si>
    <t xml:space="preserve">C02</t>
  </si>
  <si>
    <t xml:space="preserve">sql_invalid</t>
  </si>
  <si>
    <t xml:space="preserve">C03</t>
  </si>
  <si>
    <t xml:space="preserve">C04</t>
  </si>
  <si>
    <t xml:space="preserve">C05</t>
  </si>
  <si>
    <t xml:space="preserve">C06</t>
  </si>
  <si>
    <t xml:space="preserve">C07</t>
  </si>
  <si>
    <t xml:space="preserve">C08</t>
  </si>
  <si>
    <t xml:space="preserve">C09</t>
  </si>
  <si>
    <t xml:space="preserve">C10</t>
  </si>
  <si>
    <t xml:space="preserve">C11</t>
  </si>
  <si>
    <t xml:space="preserve">C12</t>
  </si>
  <si>
    <t xml:space="preserve">sql_rejected</t>
  </si>
  <si>
    <t xml:space="preserve">C13</t>
  </si>
  <si>
    <t xml:space="preserve">C14</t>
  </si>
  <si>
    <t xml:space="preserve">C15</t>
  </si>
  <si>
    <t xml:space="preserve">C16</t>
  </si>
  <si>
    <t xml:space="preserve">C17</t>
  </si>
  <si>
    <t xml:space="preserve">C18</t>
  </si>
  <si>
    <t xml:space="preserve">C19</t>
  </si>
  <si>
    <t xml:space="preserve">C20</t>
  </si>
  <si>
    <t xml:space="preserve">Correct (of 20)</t>
  </si>
  <si>
    <t xml:space="preserve">Wrong value</t>
  </si>
  <si>
    <t xml:space="preserve">No value (SQL invalid / rejected / not run)</t>
  </si>
  <si>
    <t xml:space="preserve">Notes</t>
  </si>
  <si>
    <t xml:space="preserve">Sources: raw traces traces-A.csv to traces-E.csv (all nature = real). Reference = reference-td1.csv (equals the instructor's values for all 20 questions).</t>
  </si>
  <si>
    <t xml:space="preserve">Models: A groq/openai/gpt-oss-120b, B groq/openai/gpt-oss-20b, C openrouter/cohere/north-mini-code:free, D groq/qwen/qwen3.8-27b, E openrouter/dots-studio/dots-3-note-preview:free.</t>
  </si>
  <si>
    <t xml:space="preserve">Checked: 100 of 100 cells present; same prompt fingerprint (prompt_sha256) for all five models on each question; reference identical in every trace.</t>
  </si>
  <si>
    <t xml:space="preserve">Text in a cell means the final attempt produced no executable value: sql_invalid, sql_rejected or not_executed.</t>
  </si>
  <si>
    <t xml:space="preserve">Cells with a retried first attempt (HTTP 429): B C19; D C16, C17, C18, C19, C20. The 'Status' sheet shows the attempts.</t>
  </si>
  <si>
    <t xml:space="preserve">Final status per cell (verdict of the last attempt)</t>
  </si>
  <si>
    <t xml:space="preserve">correct</t>
  </si>
  <si>
    <t xml:space="preserve">incorrect</t>
  </si>
  <si>
    <t xml:space="preserve">correct (attempt 2)</t>
  </si>
  <si>
    <t xml:space="preserve">incorrect (attempt 2)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</si>
</sst>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DEBF7"/>
        <bgColor rgb="FFCCFFFF"/>
      </patternFill>
    </fill>
    <fill>
      <patternFill patternType="solid">
        <fgColor rgb="FFC6E0B4"/>
        <bgColor rgb="FFBFBFBF"/>
      </patternFill>
    </fill>
    <fill>
      <patternFill patternType="solid">
        <fgColor rgb="FFF4B6B6"/>
        <bgColor rgb="FFFF99CC"/>
      </patternFill>
    </fill>
    <fill>
      <patternFill patternType="solid">
        <fgColor rgb="FFFFE699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>
          <bgColor rgb="FFFFE699"/>
        </patternFill>
      </fill>
    </dxf>
    <dxf>
      <fill>
        <patternFill>
          <bgColor rgb="FFF4B6B6"/>
        </patternFill>
      </fill>
    </dxf>
    <dxf>
      <fill>
        <patternFill>
          <bgColor rgb="FFC6E0B4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4B6B6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7" min="2" style="0" width="17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792800</v>
      </c>
      <c r="C5" s="6" t="n">
        <v>792800</v>
      </c>
      <c r="D5" s="6" t="n">
        <v>792800</v>
      </c>
      <c r="E5" s="6" t="n">
        <v>792800</v>
      </c>
      <c r="F5" s="6" t="n">
        <v>792800</v>
      </c>
      <c r="G5" s="6" t="n">
        <v>792800</v>
      </c>
    </row>
    <row r="6" customFormat="false" ht="15" hidden="false" customHeight="false" outlineLevel="0" collapsed="false">
      <c r="A6" s="4" t="s">
        <v>10</v>
      </c>
      <c r="B6" s="5" t="n">
        <v>590320</v>
      </c>
      <c r="C6" s="6" t="n">
        <v>590320</v>
      </c>
      <c r="D6" s="6" t="n">
        <v>0</v>
      </c>
      <c r="E6" s="7" t="s">
        <v>11</v>
      </c>
      <c r="F6" s="6" t="n">
        <v>590320</v>
      </c>
      <c r="G6" s="6" t="n">
        <v>0</v>
      </c>
    </row>
    <row r="7" customFormat="false" ht="15" hidden="false" customHeight="false" outlineLevel="0" collapsed="false">
      <c r="A7" s="4" t="s">
        <v>12</v>
      </c>
      <c r="B7" s="5" t="n">
        <v>936350</v>
      </c>
      <c r="C7" s="6" t="n">
        <v>936350</v>
      </c>
      <c r="D7" s="6" t="n">
        <v>936350</v>
      </c>
      <c r="E7" s="6" t="n">
        <v>936350</v>
      </c>
      <c r="F7" s="6" t="n">
        <v>936350</v>
      </c>
      <c r="G7" s="6" t="n">
        <v>936350</v>
      </c>
    </row>
    <row r="8" customFormat="false" ht="15" hidden="false" customHeight="false" outlineLevel="0" collapsed="false">
      <c r="A8" s="4" t="s">
        <v>13</v>
      </c>
      <c r="B8" s="5" t="n">
        <v>2826250</v>
      </c>
      <c r="C8" s="6" t="n">
        <v>2826250</v>
      </c>
      <c r="D8" s="6" t="n">
        <v>2826250</v>
      </c>
      <c r="E8" s="6" t="n">
        <v>2826250</v>
      </c>
      <c r="F8" s="6" t="n">
        <v>2826250</v>
      </c>
      <c r="G8" s="6" t="n">
        <v>2826250</v>
      </c>
    </row>
    <row r="9" customFormat="false" ht="15" hidden="false" customHeight="false" outlineLevel="0" collapsed="false">
      <c r="A9" s="4" t="s">
        <v>14</v>
      </c>
      <c r="B9" s="5" t="n">
        <v>38480</v>
      </c>
      <c r="C9" s="6" t="n">
        <v>38480</v>
      </c>
      <c r="D9" s="6" t="n">
        <v>38480</v>
      </c>
      <c r="E9" s="6" t="n">
        <v>38480</v>
      </c>
      <c r="F9" s="6" t="n">
        <v>38480</v>
      </c>
      <c r="G9" s="6" t="n">
        <v>38480</v>
      </c>
    </row>
    <row r="10" customFormat="false" ht="15" hidden="false" customHeight="false" outlineLevel="0" collapsed="false">
      <c r="A10" s="4" t="s">
        <v>15</v>
      </c>
      <c r="B10" s="5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</row>
    <row r="11" customFormat="false" ht="15" hidden="false" customHeight="false" outlineLevel="0" collapsed="false">
      <c r="A11" s="4" t="s">
        <v>16</v>
      </c>
      <c r="B11" s="5" t="n">
        <v>13970</v>
      </c>
      <c r="C11" s="6" t="n">
        <v>13970</v>
      </c>
      <c r="D11" s="6" t="n">
        <v>13970</v>
      </c>
      <c r="E11" s="6" t="n">
        <v>13970</v>
      </c>
      <c r="F11" s="6" t="n">
        <v>13970</v>
      </c>
      <c r="G11" s="6" t="n">
        <v>13970</v>
      </c>
    </row>
    <row r="12" customFormat="false" ht="15" hidden="false" customHeight="false" outlineLevel="0" collapsed="false">
      <c r="A12" s="4" t="s">
        <v>17</v>
      </c>
      <c r="B12" s="5" t="n">
        <v>605580</v>
      </c>
      <c r="C12" s="6" t="n">
        <v>605580</v>
      </c>
      <c r="D12" s="6" t="n">
        <v>605580</v>
      </c>
      <c r="E12" s="6" t="n">
        <v>0</v>
      </c>
      <c r="F12" s="6" t="n">
        <v>605580</v>
      </c>
      <c r="G12" s="6" t="n">
        <v>0</v>
      </c>
    </row>
    <row r="13" customFormat="false" ht="15" hidden="false" customHeight="false" outlineLevel="0" collapsed="false">
      <c r="A13" s="4" t="s">
        <v>18</v>
      </c>
      <c r="B13" s="5" t="n">
        <v>487980</v>
      </c>
      <c r="C13" s="6" t="n">
        <v>487980</v>
      </c>
      <c r="D13" s="6" t="n">
        <v>487980</v>
      </c>
      <c r="E13" s="6" t="n">
        <v>0</v>
      </c>
      <c r="F13" s="6" t="n">
        <v>487980</v>
      </c>
      <c r="G13" s="6" t="n">
        <v>487980</v>
      </c>
    </row>
    <row r="14" customFormat="false" ht="15" hidden="false" customHeight="false" outlineLevel="0" collapsed="false">
      <c r="A14" s="4" t="s">
        <v>19</v>
      </c>
      <c r="B14" s="5" t="n">
        <v>558980</v>
      </c>
      <c r="C14" s="6" t="n">
        <v>558980</v>
      </c>
      <c r="D14" s="6" t="n">
        <v>558980</v>
      </c>
      <c r="E14" s="6" t="n">
        <v>119410</v>
      </c>
      <c r="F14" s="6" t="n">
        <v>119410</v>
      </c>
      <c r="G14" s="6" t="n">
        <v>119410</v>
      </c>
    </row>
    <row r="15" customFormat="false" ht="15" hidden="false" customHeight="false" outlineLevel="0" collapsed="false">
      <c r="A15" s="4" t="s">
        <v>20</v>
      </c>
      <c r="B15" s="5" t="n">
        <v>446690</v>
      </c>
      <c r="C15" s="6" t="n">
        <v>446690</v>
      </c>
      <c r="D15" s="6" t="n">
        <v>322160</v>
      </c>
      <c r="E15" s="6" t="n">
        <v>0</v>
      </c>
      <c r="F15" s="6" t="n">
        <v>446690</v>
      </c>
      <c r="G15" s="6" t="n">
        <v>446690</v>
      </c>
    </row>
    <row r="16" customFormat="false" ht="15" hidden="false" customHeight="false" outlineLevel="0" collapsed="false">
      <c r="A16" s="4" t="s">
        <v>21</v>
      </c>
      <c r="B16" s="5" t="n">
        <v>1666490</v>
      </c>
      <c r="C16" s="6" t="n">
        <v>1666490</v>
      </c>
      <c r="D16" s="6" t="n">
        <v>1666490</v>
      </c>
      <c r="E16" s="6" t="n">
        <v>1666490</v>
      </c>
      <c r="F16" s="7" t="s">
        <v>22</v>
      </c>
      <c r="G16" s="6" t="n">
        <v>1666490</v>
      </c>
    </row>
    <row r="17" customFormat="false" ht="15" hidden="false" customHeight="false" outlineLevel="0" collapsed="false">
      <c r="A17" s="4" t="s">
        <v>23</v>
      </c>
      <c r="B17" s="5" t="n">
        <v>107740</v>
      </c>
      <c r="C17" s="6" t="n">
        <v>107740</v>
      </c>
      <c r="D17" s="6" t="n">
        <v>107740</v>
      </c>
      <c r="E17" s="6" t="n">
        <v>107740</v>
      </c>
      <c r="F17" s="6" t="n">
        <v>107740</v>
      </c>
      <c r="G17" s="6" t="n">
        <v>107740</v>
      </c>
    </row>
    <row r="18" customFormat="false" ht="15" hidden="false" customHeight="false" outlineLevel="0" collapsed="false">
      <c r="A18" s="4" t="s">
        <v>24</v>
      </c>
      <c r="B18" s="5" t="n">
        <v>0</v>
      </c>
      <c r="C18" s="6" t="n">
        <v>0</v>
      </c>
      <c r="D18" s="6" t="n">
        <v>0</v>
      </c>
      <c r="E18" s="6" t="n">
        <v>0</v>
      </c>
      <c r="F18" s="6" t="n">
        <v>0</v>
      </c>
      <c r="G18" s="6" t="n">
        <v>0</v>
      </c>
    </row>
    <row r="19" customFormat="false" ht="15" hidden="false" customHeight="false" outlineLevel="0" collapsed="false">
      <c r="A19" s="4" t="s">
        <v>25</v>
      </c>
      <c r="B19" s="5" t="n">
        <v>168680</v>
      </c>
      <c r="C19" s="6" t="n">
        <v>168680</v>
      </c>
      <c r="D19" s="6" t="n">
        <v>168680</v>
      </c>
      <c r="E19" s="6" t="n">
        <v>0</v>
      </c>
      <c r="F19" s="6" t="n">
        <v>0</v>
      </c>
      <c r="G19" s="6" t="n">
        <v>138920</v>
      </c>
    </row>
    <row r="20" customFormat="false" ht="15" hidden="false" customHeight="false" outlineLevel="0" collapsed="false">
      <c r="A20" s="4" t="s">
        <v>26</v>
      </c>
      <c r="B20" s="5" t="n">
        <v>376740</v>
      </c>
      <c r="C20" s="6" t="n">
        <v>376740</v>
      </c>
      <c r="D20" s="6" t="n">
        <v>376740</v>
      </c>
      <c r="E20" s="6" t="n">
        <v>376740</v>
      </c>
      <c r="F20" s="6" t="n">
        <v>376740</v>
      </c>
      <c r="G20" s="6" t="n">
        <v>376740</v>
      </c>
    </row>
    <row r="21" customFormat="false" ht="15" hidden="false" customHeight="false" outlineLevel="0" collapsed="false">
      <c r="A21" s="4" t="s">
        <v>27</v>
      </c>
      <c r="B21" s="5" t="n">
        <v>258180</v>
      </c>
      <c r="C21" s="6" t="n">
        <v>258180</v>
      </c>
      <c r="D21" s="6" t="n">
        <v>258180</v>
      </c>
      <c r="E21" s="6" t="n">
        <v>197080</v>
      </c>
      <c r="F21" s="6" t="n">
        <v>248490</v>
      </c>
      <c r="G21" s="7" t="s">
        <v>11</v>
      </c>
    </row>
    <row r="22" customFormat="false" ht="15" hidden="false" customHeight="false" outlineLevel="0" collapsed="false">
      <c r="A22" s="4" t="s">
        <v>28</v>
      </c>
      <c r="B22" s="5" t="n">
        <v>62480</v>
      </c>
      <c r="C22" s="6" t="n">
        <v>62480</v>
      </c>
      <c r="D22" s="6" t="n">
        <v>62480</v>
      </c>
      <c r="E22" s="6" t="n">
        <v>62480</v>
      </c>
      <c r="F22" s="6" t="n">
        <v>62480</v>
      </c>
      <c r="G22" s="6" t="n">
        <v>62480</v>
      </c>
    </row>
    <row r="23" customFormat="false" ht="15" hidden="false" customHeight="false" outlineLevel="0" collapsed="false">
      <c r="A23" s="4" t="s">
        <v>29</v>
      </c>
      <c r="B23" s="5" t="n">
        <v>1990</v>
      </c>
      <c r="C23" s="6" t="n">
        <v>0</v>
      </c>
      <c r="D23" s="6" t="n">
        <v>1990</v>
      </c>
      <c r="E23" s="6" t="n">
        <v>1990</v>
      </c>
      <c r="F23" s="6" t="n">
        <v>83580</v>
      </c>
      <c r="G23" s="6" t="n">
        <v>1990</v>
      </c>
    </row>
    <row r="24" customFormat="false" ht="15" hidden="false" customHeight="false" outlineLevel="0" collapsed="false">
      <c r="A24" s="4" t="s">
        <v>30</v>
      </c>
      <c r="B24" s="5" t="n">
        <v>1106090</v>
      </c>
      <c r="C24" s="6" t="n">
        <v>1106090</v>
      </c>
      <c r="D24" s="6" t="n">
        <v>1106090</v>
      </c>
      <c r="E24" s="6" t="n">
        <v>1106090</v>
      </c>
      <c r="F24" s="6" t="n">
        <v>1106090</v>
      </c>
      <c r="G24" s="6" t="n">
        <v>1106090</v>
      </c>
    </row>
    <row r="26" customFormat="false" ht="15" hidden="false" customHeight="false" outlineLevel="0" collapsed="false">
      <c r="A26" s="8" t="s">
        <v>31</v>
      </c>
      <c r="B26" s="9"/>
      <c r="C26" s="9" t="n">
        <f aca="false">SUMPRODUCT(--(C5:C24=$B$5:$B$24))</f>
        <v>19</v>
      </c>
      <c r="D26" s="9" t="n">
        <f aca="false">SUMPRODUCT(--(D5:D24=$B$5:$B$24))</f>
        <v>18</v>
      </c>
      <c r="E26" s="9" t="n">
        <f aca="false">SUMPRODUCT(--(E5:E24=$B$5:$B$24))</f>
        <v>13</v>
      </c>
      <c r="F26" s="9" t="n">
        <f aca="false">SUMPRODUCT(--(F5:F24=$B$5:$B$24))</f>
        <v>15</v>
      </c>
      <c r="G26" s="9" t="n">
        <f aca="false">SUMPRODUCT(--(G5:G24=$B$5:$B$24))</f>
        <v>15</v>
      </c>
    </row>
    <row r="27" customFormat="false" ht="15" hidden="false" customHeight="false" outlineLevel="0" collapsed="false">
      <c r="A27" s="8" t="s">
        <v>32</v>
      </c>
      <c r="B27" s="9"/>
      <c r="C27" s="9" t="n">
        <f aca="false">20-C26-C28</f>
        <v>1</v>
      </c>
      <c r="D27" s="9" t="n">
        <f aca="false">20-D26-D28</f>
        <v>2</v>
      </c>
      <c r="E27" s="9" t="n">
        <f aca="false">20-E26-E28</f>
        <v>6</v>
      </c>
      <c r="F27" s="9" t="n">
        <f aca="false">20-F26-F28</f>
        <v>4</v>
      </c>
      <c r="G27" s="9" t="n">
        <f aca="false">20-G26-G28</f>
        <v>4</v>
      </c>
    </row>
    <row r="28" customFormat="false" ht="30" hidden="false" customHeight="true" outlineLevel="0" collapsed="false">
      <c r="A28" s="8" t="s">
        <v>33</v>
      </c>
      <c r="B28" s="9"/>
      <c r="C28" s="9" t="n">
        <f aca="false">SUMPRODUCT(--ISTEXT(C5:C24))</f>
        <v>0</v>
      </c>
      <c r="D28" s="9" t="n">
        <f aca="false">SUMPRODUCT(--ISTEXT(D5:D24))</f>
        <v>0</v>
      </c>
      <c r="E28" s="9" t="n">
        <f aca="false">SUMPRODUCT(--ISTEXT(E5:E24))</f>
        <v>1</v>
      </c>
      <c r="F28" s="9" t="n">
        <f aca="false">SUMPRODUCT(--ISTEXT(F5:F24))</f>
        <v>1</v>
      </c>
      <c r="G28" s="9" t="n">
        <f aca="false">SUMPRODUCT(--ISTEXT(G5:G24))</f>
        <v>1</v>
      </c>
    </row>
    <row r="30" customFormat="false" ht="15" hidden="false" customHeight="true" outlineLevel="0" collapsed="false">
      <c r="A30" s="10" t="s">
        <v>34</v>
      </c>
      <c r="B30" s="10"/>
      <c r="C30" s="10"/>
      <c r="D30" s="10"/>
      <c r="E30" s="10"/>
      <c r="F30" s="10"/>
      <c r="G30" s="10"/>
    </row>
    <row r="31" customFormat="false" ht="30" hidden="false" customHeight="true" outlineLevel="0" collapsed="false">
      <c r="A31" s="11" t="s">
        <v>35</v>
      </c>
      <c r="B31" s="11"/>
      <c r="C31" s="11"/>
      <c r="D31" s="11"/>
      <c r="E31" s="11"/>
      <c r="F31" s="11"/>
      <c r="G31" s="11"/>
    </row>
    <row r="32" customFormat="false" ht="30" hidden="false" customHeight="true" outlineLevel="0" collapsed="false">
      <c r="A32" s="11" t="s">
        <v>36</v>
      </c>
      <c r="B32" s="11"/>
      <c r="C32" s="11"/>
      <c r="D32" s="11"/>
      <c r="E32" s="11"/>
      <c r="F32" s="11"/>
      <c r="G32" s="11"/>
    </row>
    <row r="33" customFormat="false" ht="30" hidden="false" customHeight="true" outlineLevel="0" collapsed="false">
      <c r="A33" s="11" t="s">
        <v>37</v>
      </c>
      <c r="B33" s="11"/>
      <c r="C33" s="11"/>
      <c r="D33" s="11"/>
      <c r="E33" s="11"/>
      <c r="F33" s="11"/>
      <c r="G33" s="11"/>
    </row>
    <row r="34" customFormat="false" ht="30" hidden="false" customHeight="true" outlineLevel="0" collapsed="false">
      <c r="A34" s="11" t="s">
        <v>38</v>
      </c>
      <c r="B34" s="11"/>
      <c r="C34" s="11"/>
      <c r="D34" s="11"/>
      <c r="E34" s="11"/>
      <c r="F34" s="11"/>
      <c r="G34" s="11"/>
    </row>
    <row r="35" customFormat="false" ht="30" hidden="false" customHeight="true" outlineLevel="0" collapsed="false">
      <c r="A35" s="11" t="s">
        <v>39</v>
      </c>
      <c r="B35" s="11"/>
      <c r="C35" s="11"/>
      <c r="D35" s="11"/>
      <c r="E35" s="11"/>
      <c r="F35" s="11"/>
      <c r="G35" s="11"/>
    </row>
  </sheetData>
  <mergeCells count="6">
    <mergeCell ref="A30:G30"/>
    <mergeCell ref="A31:G31"/>
    <mergeCell ref="A32:G32"/>
    <mergeCell ref="A33:G33"/>
    <mergeCell ref="A34:G34"/>
    <mergeCell ref="A35:G35"/>
  </mergeCells>
  <conditionalFormatting sqref="C5:G24">
    <cfRule type="expression" priority="2" aboveAverage="0" equalAverage="0" bottom="0" percent="0" rank="0" text="" dxfId="0">
      <formula>ISTEXT(C5)</formula>
    </cfRule>
    <cfRule type="expression" priority="3" aboveAverage="0" equalAverage="0" bottom="0" percent="0" rank="0" text="" dxfId="1">
      <formula>C5&lt;&gt;$B5</formula>
    </cfRule>
    <cfRule type="expression" priority="4" aboveAverage="0" equalAverage="0" bottom="0" percent="0" rank="0" text="" dxfId="2">
      <formula>C5=$B5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6" min="2" style="0" width="22"/>
  </cols>
  <sheetData>
    <row r="1" customFormat="false" ht="16.15" hidden="false" customHeight="false" outlineLevel="0" collapsed="false">
      <c r="A1" s="1" t="s">
        <v>40</v>
      </c>
    </row>
    <row r="3" customFormat="false" ht="31.5" hidden="false" customHeight="true" outlineLevel="0" collapsed="false">
      <c r="A3" s="3" t="s">
        <v>2</v>
      </c>
      <c r="B3" s="3" t="s">
        <v>4</v>
      </c>
      <c r="C3" s="3" t="s">
        <v>5</v>
      </c>
      <c r="D3" s="3" t="s">
        <v>6</v>
      </c>
      <c r="E3" s="3" t="s">
        <v>7</v>
      </c>
      <c r="F3" s="3" t="s">
        <v>8</v>
      </c>
    </row>
    <row r="4" customFormat="false" ht="15" hidden="false" customHeight="false" outlineLevel="0" collapsed="false">
      <c r="A4" s="4" t="s">
        <v>9</v>
      </c>
      <c r="B4" s="12" t="s">
        <v>41</v>
      </c>
      <c r="C4" s="12" t="s">
        <v>41</v>
      </c>
      <c r="D4" s="12" t="s">
        <v>41</v>
      </c>
      <c r="E4" s="12" t="s">
        <v>41</v>
      </c>
      <c r="F4" s="12" t="s">
        <v>41</v>
      </c>
    </row>
    <row r="5" customFormat="false" ht="15" hidden="false" customHeight="false" outlineLevel="0" collapsed="false">
      <c r="A5" s="4" t="s">
        <v>10</v>
      </c>
      <c r="B5" s="12" t="s">
        <v>41</v>
      </c>
      <c r="C5" s="13" t="s">
        <v>42</v>
      </c>
      <c r="D5" s="14" t="s">
        <v>11</v>
      </c>
      <c r="E5" s="12" t="s">
        <v>41</v>
      </c>
      <c r="F5" s="13" t="s">
        <v>42</v>
      </c>
    </row>
    <row r="6" customFormat="false" ht="15" hidden="false" customHeight="false" outlineLevel="0" collapsed="false">
      <c r="A6" s="4" t="s">
        <v>12</v>
      </c>
      <c r="B6" s="12" t="s">
        <v>41</v>
      </c>
      <c r="C6" s="12" t="s">
        <v>41</v>
      </c>
      <c r="D6" s="12" t="s">
        <v>41</v>
      </c>
      <c r="E6" s="12" t="s">
        <v>41</v>
      </c>
      <c r="F6" s="12" t="s">
        <v>41</v>
      </c>
    </row>
    <row r="7" customFormat="false" ht="15" hidden="false" customHeight="false" outlineLevel="0" collapsed="false">
      <c r="A7" s="4" t="s">
        <v>13</v>
      </c>
      <c r="B7" s="12" t="s">
        <v>41</v>
      </c>
      <c r="C7" s="12" t="s">
        <v>41</v>
      </c>
      <c r="D7" s="12" t="s">
        <v>41</v>
      </c>
      <c r="E7" s="12" t="s">
        <v>41</v>
      </c>
      <c r="F7" s="12" t="s">
        <v>41</v>
      </c>
    </row>
    <row r="8" customFormat="false" ht="15" hidden="false" customHeight="false" outlineLevel="0" collapsed="false">
      <c r="A8" s="4" t="s">
        <v>14</v>
      </c>
      <c r="B8" s="12" t="s">
        <v>41</v>
      </c>
      <c r="C8" s="12" t="s">
        <v>41</v>
      </c>
      <c r="D8" s="12" t="s">
        <v>41</v>
      </c>
      <c r="E8" s="12" t="s">
        <v>41</v>
      </c>
      <c r="F8" s="12" t="s">
        <v>41</v>
      </c>
    </row>
    <row r="9" customFormat="false" ht="15" hidden="false" customHeight="false" outlineLevel="0" collapsed="false">
      <c r="A9" s="4" t="s">
        <v>15</v>
      </c>
      <c r="B9" s="12" t="s">
        <v>41</v>
      </c>
      <c r="C9" s="12" t="s">
        <v>41</v>
      </c>
      <c r="D9" s="12" t="s">
        <v>41</v>
      </c>
      <c r="E9" s="12" t="s">
        <v>41</v>
      </c>
      <c r="F9" s="12" t="s">
        <v>41</v>
      </c>
    </row>
    <row r="10" customFormat="false" ht="15" hidden="false" customHeight="false" outlineLevel="0" collapsed="false">
      <c r="A10" s="4" t="s">
        <v>16</v>
      </c>
      <c r="B10" s="12" t="s">
        <v>41</v>
      </c>
      <c r="C10" s="12" t="s">
        <v>41</v>
      </c>
      <c r="D10" s="12" t="s">
        <v>41</v>
      </c>
      <c r="E10" s="12" t="s">
        <v>41</v>
      </c>
      <c r="F10" s="12" t="s">
        <v>41</v>
      </c>
    </row>
    <row r="11" customFormat="false" ht="15" hidden="false" customHeight="false" outlineLevel="0" collapsed="false">
      <c r="A11" s="4" t="s">
        <v>17</v>
      </c>
      <c r="B11" s="12" t="s">
        <v>41</v>
      </c>
      <c r="C11" s="12" t="s">
        <v>41</v>
      </c>
      <c r="D11" s="13" t="s">
        <v>42</v>
      </c>
      <c r="E11" s="12" t="s">
        <v>41</v>
      </c>
      <c r="F11" s="13" t="s">
        <v>42</v>
      </c>
    </row>
    <row r="12" customFormat="false" ht="15" hidden="false" customHeight="false" outlineLevel="0" collapsed="false">
      <c r="A12" s="4" t="s">
        <v>18</v>
      </c>
      <c r="B12" s="12" t="s">
        <v>41</v>
      </c>
      <c r="C12" s="12" t="s">
        <v>41</v>
      </c>
      <c r="D12" s="13" t="s">
        <v>42</v>
      </c>
      <c r="E12" s="12" t="s">
        <v>41</v>
      </c>
      <c r="F12" s="12" t="s">
        <v>41</v>
      </c>
    </row>
    <row r="13" customFormat="false" ht="15" hidden="false" customHeight="false" outlineLevel="0" collapsed="false">
      <c r="A13" s="4" t="s">
        <v>19</v>
      </c>
      <c r="B13" s="12" t="s">
        <v>41</v>
      </c>
      <c r="C13" s="12" t="s">
        <v>41</v>
      </c>
      <c r="D13" s="13" t="s">
        <v>42</v>
      </c>
      <c r="E13" s="13" t="s">
        <v>42</v>
      </c>
      <c r="F13" s="13" t="s">
        <v>42</v>
      </c>
    </row>
    <row r="14" customFormat="false" ht="15" hidden="false" customHeight="false" outlineLevel="0" collapsed="false">
      <c r="A14" s="4" t="s">
        <v>20</v>
      </c>
      <c r="B14" s="12" t="s">
        <v>41</v>
      </c>
      <c r="C14" s="13" t="s">
        <v>42</v>
      </c>
      <c r="D14" s="13" t="s">
        <v>42</v>
      </c>
      <c r="E14" s="12" t="s">
        <v>41</v>
      </c>
      <c r="F14" s="12" t="s">
        <v>41</v>
      </c>
    </row>
    <row r="15" customFormat="false" ht="15" hidden="false" customHeight="false" outlineLevel="0" collapsed="false">
      <c r="A15" s="4" t="s">
        <v>21</v>
      </c>
      <c r="B15" s="12" t="s">
        <v>41</v>
      </c>
      <c r="C15" s="12" t="s">
        <v>41</v>
      </c>
      <c r="D15" s="12" t="s">
        <v>41</v>
      </c>
      <c r="E15" s="14" t="s">
        <v>22</v>
      </c>
      <c r="F15" s="12" t="s">
        <v>41</v>
      </c>
    </row>
    <row r="16" customFormat="false" ht="15" hidden="false" customHeight="false" outlineLevel="0" collapsed="false">
      <c r="A16" s="4" t="s">
        <v>23</v>
      </c>
      <c r="B16" s="12" t="s">
        <v>41</v>
      </c>
      <c r="C16" s="12" t="s">
        <v>41</v>
      </c>
      <c r="D16" s="12" t="s">
        <v>41</v>
      </c>
      <c r="E16" s="12" t="s">
        <v>41</v>
      </c>
      <c r="F16" s="12" t="s">
        <v>41</v>
      </c>
    </row>
    <row r="17" customFormat="false" ht="15" hidden="false" customHeight="false" outlineLevel="0" collapsed="false">
      <c r="A17" s="4" t="s">
        <v>24</v>
      </c>
      <c r="B17" s="12" t="s">
        <v>41</v>
      </c>
      <c r="C17" s="12" t="s">
        <v>41</v>
      </c>
      <c r="D17" s="12" t="s">
        <v>41</v>
      </c>
      <c r="E17" s="12" t="s">
        <v>41</v>
      </c>
      <c r="F17" s="12" t="s">
        <v>41</v>
      </c>
    </row>
    <row r="18" customFormat="false" ht="15" hidden="false" customHeight="false" outlineLevel="0" collapsed="false">
      <c r="A18" s="4" t="s">
        <v>25</v>
      </c>
      <c r="B18" s="12" t="s">
        <v>41</v>
      </c>
      <c r="C18" s="12" t="s">
        <v>41</v>
      </c>
      <c r="D18" s="13" t="s">
        <v>42</v>
      </c>
      <c r="E18" s="13" t="s">
        <v>42</v>
      </c>
      <c r="F18" s="13" t="s">
        <v>42</v>
      </c>
    </row>
    <row r="19" customFormat="false" ht="15" hidden="false" customHeight="false" outlineLevel="0" collapsed="false">
      <c r="A19" s="4" t="s">
        <v>26</v>
      </c>
      <c r="B19" s="12" t="s">
        <v>41</v>
      </c>
      <c r="C19" s="12" t="s">
        <v>41</v>
      </c>
      <c r="D19" s="12" t="s">
        <v>41</v>
      </c>
      <c r="E19" s="12" t="s">
        <v>43</v>
      </c>
      <c r="F19" s="12" t="s">
        <v>41</v>
      </c>
    </row>
    <row r="20" customFormat="false" ht="15" hidden="false" customHeight="false" outlineLevel="0" collapsed="false">
      <c r="A20" s="4" t="s">
        <v>27</v>
      </c>
      <c r="B20" s="12" t="s">
        <v>41</v>
      </c>
      <c r="C20" s="12" t="s">
        <v>41</v>
      </c>
      <c r="D20" s="13" t="s">
        <v>42</v>
      </c>
      <c r="E20" s="13" t="s">
        <v>44</v>
      </c>
      <c r="F20" s="14" t="s">
        <v>11</v>
      </c>
    </row>
    <row r="21" customFormat="false" ht="15" hidden="false" customHeight="false" outlineLevel="0" collapsed="false">
      <c r="A21" s="4" t="s">
        <v>28</v>
      </c>
      <c r="B21" s="12" t="s">
        <v>41</v>
      </c>
      <c r="C21" s="12" t="s">
        <v>41</v>
      </c>
      <c r="D21" s="12" t="s">
        <v>41</v>
      </c>
      <c r="E21" s="12" t="s">
        <v>43</v>
      </c>
      <c r="F21" s="12" t="s">
        <v>41</v>
      </c>
    </row>
    <row r="22" customFormat="false" ht="15" hidden="false" customHeight="false" outlineLevel="0" collapsed="false">
      <c r="A22" s="4" t="s">
        <v>29</v>
      </c>
      <c r="B22" s="13" t="s">
        <v>42</v>
      </c>
      <c r="C22" s="12" t="s">
        <v>43</v>
      </c>
      <c r="D22" s="12" t="s">
        <v>41</v>
      </c>
      <c r="E22" s="13" t="s">
        <v>44</v>
      </c>
      <c r="F22" s="12" t="s">
        <v>41</v>
      </c>
    </row>
    <row r="23" customFormat="false" ht="15" hidden="false" customHeight="false" outlineLevel="0" collapsed="false">
      <c r="A23" s="4" t="s">
        <v>30</v>
      </c>
      <c r="B23" s="12" t="s">
        <v>41</v>
      </c>
      <c r="C23" s="12" t="s">
        <v>41</v>
      </c>
      <c r="D23" s="12" t="s">
        <v>41</v>
      </c>
      <c r="E23" s="12" t="s">
        <v>43</v>
      </c>
      <c r="F23" s="12" t="s">
        <v>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2026-10-21T13:18:44Z</dcterms:created>
  <dc:creator>openpyxl</dc:creator>
  <dc:description/>
  <dc:language>en-US</dc:language>
  <cp:lastModifiedBy/>
  <dcterms:modified xsi:type="dcterms:W3CDTF">2026-10-21T13:18:44Z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